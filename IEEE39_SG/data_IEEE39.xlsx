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roject\IEEE39_new_multimachine\"/>
    </mc:Choice>
  </mc:AlternateContent>
  <bookViews>
    <workbookView xWindow="0" yWindow="0" windowWidth="28800" windowHeight="12210"/>
  </bookViews>
  <sheets>
    <sheet name="SG" sheetId="1" r:id="rId1"/>
    <sheet name="Line" sheetId="2" r:id="rId2"/>
    <sheet name="Load" sheetId="3" r:id="rId3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4" i="1" l="1"/>
  <c r="D4" i="1"/>
  <c r="E4" i="1"/>
  <c r="F4" i="1"/>
  <c r="G4" i="1"/>
  <c r="H4" i="1"/>
  <c r="I4" i="1"/>
  <c r="J4" i="1"/>
  <c r="B6" i="1"/>
  <c r="C6" i="1"/>
  <c r="D6" i="1"/>
  <c r="E6" i="1"/>
  <c r="F6" i="1"/>
  <c r="G6" i="1"/>
  <c r="H6" i="1"/>
  <c r="I6" i="1"/>
  <c r="J6" i="1"/>
</calcChain>
</file>

<file path=xl/sharedStrings.xml><?xml version="1.0" encoding="utf-8"?>
<sst xmlns="http://schemas.openxmlformats.org/spreadsheetml/2006/main" count="17" uniqueCount="16">
  <si>
    <t>Line no.</t>
  </si>
  <si>
    <t>from</t>
  </si>
  <si>
    <t>to</t>
  </si>
  <si>
    <t>X</t>
  </si>
  <si>
    <t>R</t>
  </si>
  <si>
    <t>Load no.</t>
  </si>
  <si>
    <t>bus no.</t>
  </si>
  <si>
    <t>P</t>
  </si>
  <si>
    <t>Q</t>
  </si>
  <si>
    <t>SG no.</t>
  </si>
  <si>
    <t>Pm</t>
  </si>
  <si>
    <t>E</t>
  </si>
  <si>
    <t>H</t>
  </si>
  <si>
    <t>Kd</t>
  </si>
  <si>
    <t>Xsg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</si>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</sst>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428625</xdr:colOff>
      <xdr:row>0</xdr:row>
      <xdr:rowOff>85726</xdr:rowOff>
    </xdr:from>
    <xdr:to>
      <xdr:col>17</xdr:col>
      <xdr:colOff>262150</xdr:colOff>
      <xdr:row>20</xdr:row>
      <xdr:rowOff>161926</xdr:rowOff>
    </xdr:to>
    <xdr:pic>
      <xdr:nvPicPr>
        <xdr:cNvPr id="2" name="Picture 1" descr="Evaluating the Optimal Electric Vehicle Location for a Hybrid Energy System  Controlled with Novel Active Disturbance Rejection Controll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85726"/>
          <a:ext cx="4100725" cy="388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zoomScale="145" zoomScaleNormal="145" workbookViewId="0">
      <selection activeCell="J5" sqref="J5"/>
    </sheetView>
  </sheetViews>
  <sheetFormatPr defaultRowHeight="15" x14ac:dyDescent="0.25"/>
  <sheetData>
    <row r="1" spans="1:10" x14ac:dyDescent="0.25">
      <c r="A1" t="s">
        <v>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25">
      <c r="A2" t="s">
        <v>6</v>
      </c>
      <c r="B2">
        <v>31</v>
      </c>
      <c r="C2">
        <v>32</v>
      </c>
      <c r="D2">
        <v>33</v>
      </c>
      <c r="E2">
        <v>34</v>
      </c>
      <c r="F2">
        <v>35</v>
      </c>
      <c r="G2">
        <v>36</v>
      </c>
      <c r="H2">
        <v>37</v>
      </c>
      <c r="I2">
        <v>38</v>
      </c>
      <c r="J2">
        <v>30</v>
      </c>
    </row>
    <row r="3" spans="1:10" x14ac:dyDescent="0.25">
      <c r="A3" t="s">
        <v>10</v>
      </c>
      <c r="B3">
        <v>7</v>
      </c>
      <c r="C3">
        <v>6.5</v>
      </c>
      <c r="D3">
        <v>6.32</v>
      </c>
      <c r="E3">
        <v>5.08</v>
      </c>
      <c r="F3">
        <v>6.5</v>
      </c>
      <c r="G3">
        <v>5.6000000000000005</v>
      </c>
      <c r="H3">
        <v>5.4</v>
      </c>
      <c r="I3">
        <v>8.2999999999999989</v>
      </c>
      <c r="J3">
        <v>2.5</v>
      </c>
    </row>
    <row r="4" spans="1:10" x14ac:dyDescent="0.25">
      <c r="A4" t="s">
        <v>11</v>
      </c>
      <c r="B4">
        <f>1+5*B7</f>
        <v>1.1000000000000001</v>
      </c>
      <c r="C4">
        <f t="shared" ref="C4:J4" si="0">1+5*C7</f>
        <v>1.1000000000000001</v>
      </c>
      <c r="D4">
        <f t="shared" si="0"/>
        <v>1.1000000000000001</v>
      </c>
      <c r="E4">
        <f t="shared" si="0"/>
        <v>1.1000000000000001</v>
      </c>
      <c r="F4">
        <f t="shared" si="0"/>
        <v>1.1000000000000001</v>
      </c>
      <c r="G4">
        <f t="shared" si="0"/>
        <v>1.1000000000000001</v>
      </c>
      <c r="H4">
        <f t="shared" si="0"/>
        <v>1.1000000000000001</v>
      </c>
      <c r="I4">
        <f t="shared" si="0"/>
        <v>1.1000000000000001</v>
      </c>
      <c r="J4">
        <f t="shared" si="0"/>
        <v>1.1000000000000001</v>
      </c>
    </row>
    <row r="5" spans="1:10" x14ac:dyDescent="0.25">
      <c r="A5" t="s">
        <v>12</v>
      </c>
      <c r="B5">
        <v>30.3</v>
      </c>
      <c r="C5">
        <v>35.799999999999997</v>
      </c>
      <c r="D5">
        <v>28.6</v>
      </c>
      <c r="E5">
        <v>26</v>
      </c>
      <c r="F5">
        <v>34.799999999999997</v>
      </c>
      <c r="G5">
        <v>26.4</v>
      </c>
      <c r="H5">
        <v>24.3</v>
      </c>
      <c r="I5">
        <v>34.5</v>
      </c>
      <c r="J5">
        <v>42</v>
      </c>
    </row>
    <row r="6" spans="1:10" x14ac:dyDescent="0.25">
      <c r="A6" t="s">
        <v>13</v>
      </c>
      <c r="B6">
        <f>2*B5</f>
        <v>60.6</v>
      </c>
      <c r="C6">
        <f t="shared" ref="C6:J6" si="1">2*C5</f>
        <v>71.599999999999994</v>
      </c>
      <c r="D6">
        <f t="shared" si="1"/>
        <v>57.2</v>
      </c>
      <c r="E6">
        <f t="shared" si="1"/>
        <v>52</v>
      </c>
      <c r="F6">
        <f t="shared" si="1"/>
        <v>69.599999999999994</v>
      </c>
      <c r="G6">
        <f t="shared" si="1"/>
        <v>52.8</v>
      </c>
      <c r="H6">
        <f t="shared" si="1"/>
        <v>48.6</v>
      </c>
      <c r="I6">
        <f t="shared" si="1"/>
        <v>69</v>
      </c>
      <c r="J6">
        <f t="shared" si="1"/>
        <v>84</v>
      </c>
    </row>
    <row r="7" spans="1:10" x14ac:dyDescent="0.25">
      <c r="A7" t="s">
        <v>14</v>
      </c>
      <c r="B7">
        <v>0.02</v>
      </c>
      <c r="C7">
        <v>0.02</v>
      </c>
      <c r="D7">
        <v>0.02</v>
      </c>
      <c r="E7">
        <v>0.02</v>
      </c>
      <c r="F7">
        <v>0.02</v>
      </c>
      <c r="G7">
        <v>0.02</v>
      </c>
      <c r="H7">
        <v>0.02</v>
      </c>
      <c r="I7">
        <v>0.02</v>
      </c>
      <c r="J7">
        <v>0.02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"/>
  <sheetViews>
    <sheetView topLeftCell="S1" workbookViewId="0">
      <selection activeCell="H7" sqref="H7"/>
    </sheetView>
  </sheetViews>
  <sheetFormatPr defaultRowHeight="15" x14ac:dyDescent="0.25"/>
  <cols>
    <col min="1" max="1" width="9.140625" style="1"/>
  </cols>
  <sheetData>
    <row r="1" spans="1:47" x14ac:dyDescent="0.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</row>
    <row r="2" spans="1:47" x14ac:dyDescent="0.25">
      <c r="A2" s="1" t="s">
        <v>1</v>
      </c>
      <c r="B2">
        <v>1</v>
      </c>
      <c r="C2">
        <v>1</v>
      </c>
      <c r="D2">
        <v>2</v>
      </c>
      <c r="E2">
        <v>2</v>
      </c>
      <c r="F2">
        <v>2</v>
      </c>
      <c r="G2">
        <v>3</v>
      </c>
      <c r="H2">
        <v>3</v>
      </c>
      <c r="I2">
        <v>4</v>
      </c>
      <c r="J2">
        <v>4</v>
      </c>
      <c r="K2">
        <v>5</v>
      </c>
      <c r="L2">
        <v>6</v>
      </c>
      <c r="M2">
        <v>6</v>
      </c>
      <c r="N2">
        <v>6</v>
      </c>
      <c r="O2">
        <v>7</v>
      </c>
      <c r="P2">
        <v>8</v>
      </c>
      <c r="Q2">
        <v>9</v>
      </c>
      <c r="R2">
        <v>10</v>
      </c>
      <c r="S2">
        <v>10</v>
      </c>
      <c r="T2">
        <v>10</v>
      </c>
      <c r="U2">
        <v>12</v>
      </c>
      <c r="V2">
        <v>12</v>
      </c>
      <c r="W2">
        <v>13</v>
      </c>
      <c r="X2">
        <v>14</v>
      </c>
      <c r="Y2">
        <v>15</v>
      </c>
      <c r="Z2">
        <v>16</v>
      </c>
      <c r="AA2">
        <v>16</v>
      </c>
      <c r="AB2">
        <v>16</v>
      </c>
      <c r="AC2">
        <v>16</v>
      </c>
      <c r="AD2">
        <v>17</v>
      </c>
      <c r="AE2">
        <v>17</v>
      </c>
      <c r="AF2">
        <v>19</v>
      </c>
      <c r="AG2">
        <v>19</v>
      </c>
      <c r="AH2">
        <v>20</v>
      </c>
      <c r="AI2">
        <v>21</v>
      </c>
      <c r="AJ2">
        <v>22</v>
      </c>
      <c r="AK2">
        <v>22</v>
      </c>
      <c r="AL2">
        <v>23</v>
      </c>
      <c r="AM2">
        <v>23</v>
      </c>
      <c r="AN2">
        <v>25</v>
      </c>
      <c r="AO2">
        <v>25</v>
      </c>
      <c r="AP2">
        <v>26</v>
      </c>
      <c r="AQ2">
        <v>26</v>
      </c>
      <c r="AR2">
        <v>26</v>
      </c>
      <c r="AS2">
        <v>28</v>
      </c>
      <c r="AT2">
        <v>29</v>
      </c>
      <c r="AU2">
        <v>31</v>
      </c>
    </row>
    <row r="3" spans="1:47" x14ac:dyDescent="0.25">
      <c r="A3" s="1" t="s">
        <v>2</v>
      </c>
      <c r="B3">
        <v>2</v>
      </c>
      <c r="C3">
        <v>39</v>
      </c>
      <c r="D3">
        <v>3</v>
      </c>
      <c r="E3">
        <v>25</v>
      </c>
      <c r="F3">
        <v>30</v>
      </c>
      <c r="G3">
        <v>4</v>
      </c>
      <c r="H3">
        <v>18</v>
      </c>
      <c r="I3">
        <v>5</v>
      </c>
      <c r="J3">
        <v>14</v>
      </c>
      <c r="K3">
        <v>8</v>
      </c>
      <c r="L3">
        <v>5</v>
      </c>
      <c r="M3">
        <v>7</v>
      </c>
      <c r="N3">
        <v>11</v>
      </c>
      <c r="O3">
        <v>8</v>
      </c>
      <c r="P3">
        <v>9</v>
      </c>
      <c r="Q3">
        <v>39</v>
      </c>
      <c r="R3">
        <v>11</v>
      </c>
      <c r="S3">
        <v>13</v>
      </c>
      <c r="T3">
        <v>32</v>
      </c>
      <c r="U3">
        <v>11</v>
      </c>
      <c r="V3">
        <v>13</v>
      </c>
      <c r="W3">
        <v>14</v>
      </c>
      <c r="X3">
        <v>15</v>
      </c>
      <c r="Y3">
        <v>16</v>
      </c>
      <c r="Z3">
        <v>17</v>
      </c>
      <c r="AA3">
        <v>19</v>
      </c>
      <c r="AB3">
        <v>21</v>
      </c>
      <c r="AC3">
        <v>24</v>
      </c>
      <c r="AD3">
        <v>18</v>
      </c>
      <c r="AE3">
        <v>27</v>
      </c>
      <c r="AF3">
        <v>33</v>
      </c>
      <c r="AG3">
        <v>20</v>
      </c>
      <c r="AH3">
        <v>34</v>
      </c>
      <c r="AI3">
        <v>22</v>
      </c>
      <c r="AJ3">
        <v>23</v>
      </c>
      <c r="AK3">
        <v>35</v>
      </c>
      <c r="AL3">
        <v>24</v>
      </c>
      <c r="AM3">
        <v>36</v>
      </c>
      <c r="AN3">
        <v>26</v>
      </c>
      <c r="AO3">
        <v>37</v>
      </c>
      <c r="AP3">
        <v>27</v>
      </c>
      <c r="AQ3">
        <v>28</v>
      </c>
      <c r="AR3">
        <v>29</v>
      </c>
      <c r="AS3">
        <v>29</v>
      </c>
      <c r="AT3">
        <v>38</v>
      </c>
      <c r="AU3">
        <v>6</v>
      </c>
    </row>
    <row r="4" spans="1:47" x14ac:dyDescent="0.25">
      <c r="A4" s="1" t="s">
        <v>4</v>
      </c>
      <c r="B4">
        <v>3.5000000000000001E-3</v>
      </c>
      <c r="C4">
        <v>1E-3</v>
      </c>
      <c r="D4">
        <v>1.2999999999999999E-3</v>
      </c>
      <c r="E4">
        <v>7.0000000000000001E-3</v>
      </c>
      <c r="F4">
        <v>0</v>
      </c>
      <c r="G4">
        <v>1.2999999999999999E-3</v>
      </c>
      <c r="H4">
        <v>1.1000000000000001E-3</v>
      </c>
      <c r="I4">
        <v>8.0000000000000004E-4</v>
      </c>
      <c r="J4">
        <v>8.0000000000000004E-4</v>
      </c>
      <c r="K4">
        <v>8.0000000000000004E-4</v>
      </c>
      <c r="L4">
        <v>2.0000000000000001E-4</v>
      </c>
      <c r="M4">
        <v>5.9999999999999995E-4</v>
      </c>
      <c r="N4">
        <v>6.9999999999999999E-4</v>
      </c>
      <c r="O4">
        <v>4.0000000000000002E-4</v>
      </c>
      <c r="P4">
        <v>2.3E-3</v>
      </c>
      <c r="Q4">
        <v>1E-3</v>
      </c>
      <c r="R4">
        <v>4.0000000000000002E-4</v>
      </c>
      <c r="S4">
        <v>4.0000000000000002E-4</v>
      </c>
      <c r="T4">
        <v>0</v>
      </c>
      <c r="U4">
        <v>1.6000000000000001E-3</v>
      </c>
      <c r="V4">
        <v>1.6000000000000001E-3</v>
      </c>
      <c r="W4">
        <v>8.9999999999999998E-4</v>
      </c>
      <c r="X4">
        <v>1.8E-3</v>
      </c>
      <c r="Y4">
        <v>8.9999999999999998E-4</v>
      </c>
      <c r="Z4">
        <v>6.9999999999999999E-4</v>
      </c>
      <c r="AA4">
        <v>1.6000000000000001E-3</v>
      </c>
      <c r="AB4">
        <v>8.0000000000000004E-4</v>
      </c>
      <c r="AC4">
        <v>2.9999999999999997E-4</v>
      </c>
      <c r="AD4">
        <v>6.9999999999999999E-4</v>
      </c>
      <c r="AE4">
        <v>1.2999999999999999E-3</v>
      </c>
      <c r="AF4">
        <v>6.9999999999999999E-4</v>
      </c>
      <c r="AG4">
        <v>6.9999999999999999E-4</v>
      </c>
      <c r="AH4">
        <v>8.9999999999999998E-4</v>
      </c>
      <c r="AI4">
        <v>8.0000000000000004E-4</v>
      </c>
      <c r="AJ4">
        <v>5.9999999999999995E-4</v>
      </c>
      <c r="AK4">
        <v>0</v>
      </c>
      <c r="AL4">
        <v>2.2000000000000001E-3</v>
      </c>
      <c r="AM4">
        <v>5.0000000000000001E-4</v>
      </c>
      <c r="AN4">
        <v>3.2000000000000002E-3</v>
      </c>
      <c r="AO4">
        <v>5.9999999999999995E-4</v>
      </c>
      <c r="AP4">
        <v>1.4E-3</v>
      </c>
      <c r="AQ4">
        <v>4.3E-3</v>
      </c>
      <c r="AR4">
        <v>5.7000000000000002E-3</v>
      </c>
      <c r="AS4">
        <v>1.4E-3</v>
      </c>
      <c r="AT4">
        <v>8.0000000000000004E-4</v>
      </c>
      <c r="AU4">
        <v>0</v>
      </c>
    </row>
    <row r="5" spans="1:47" x14ac:dyDescent="0.25">
      <c r="A5" s="1" t="s">
        <v>3</v>
      </c>
      <c r="B5">
        <v>4.1099999999999998E-2</v>
      </c>
      <c r="C5">
        <v>2.5000000000000001E-2</v>
      </c>
      <c r="D5">
        <v>1.5100000000000001E-2</v>
      </c>
      <c r="E5">
        <v>8.6E-3</v>
      </c>
      <c r="F5">
        <v>1.8100000000000002E-2</v>
      </c>
      <c r="G5">
        <v>2.1299999999999999E-2</v>
      </c>
      <c r="H5">
        <v>1.3299999999999999E-2</v>
      </c>
      <c r="I5">
        <v>1.2800000000000001E-2</v>
      </c>
      <c r="J5">
        <v>1.29E-2</v>
      </c>
      <c r="K5">
        <v>1.12E-2</v>
      </c>
      <c r="L5">
        <v>2.5999999999999999E-3</v>
      </c>
      <c r="M5">
        <v>9.1999999999999998E-3</v>
      </c>
      <c r="N5">
        <v>8.2000000000000007E-3</v>
      </c>
      <c r="O5">
        <v>4.5999999999999999E-3</v>
      </c>
      <c r="P5">
        <v>3.6299999999999999E-2</v>
      </c>
      <c r="Q5">
        <v>2.5000000000000001E-2</v>
      </c>
      <c r="R5">
        <v>4.3E-3</v>
      </c>
      <c r="S5">
        <v>4.3E-3</v>
      </c>
      <c r="T5">
        <v>0.02</v>
      </c>
      <c r="U5">
        <v>4.3499999999999997E-2</v>
      </c>
      <c r="V5">
        <v>4.3499999999999997E-2</v>
      </c>
      <c r="W5">
        <v>1.01E-2</v>
      </c>
      <c r="X5">
        <v>2.1700000000000001E-2</v>
      </c>
      <c r="Y5">
        <v>9.4000000000000004E-3</v>
      </c>
      <c r="Z5">
        <v>8.8999999999999999E-3</v>
      </c>
      <c r="AA5">
        <v>1.95E-2</v>
      </c>
      <c r="AB5">
        <v>1.35E-2</v>
      </c>
      <c r="AC5">
        <v>5.8999999999999999E-3</v>
      </c>
      <c r="AD5">
        <v>8.2000000000000007E-3</v>
      </c>
      <c r="AE5">
        <v>1.7299999999999999E-2</v>
      </c>
      <c r="AF5">
        <v>1.4200000000000001E-2</v>
      </c>
      <c r="AG5">
        <v>1.38E-2</v>
      </c>
      <c r="AH5">
        <v>1.7999999999999999E-2</v>
      </c>
      <c r="AI5">
        <v>1.4E-2</v>
      </c>
      <c r="AJ5">
        <v>9.5999999999999992E-3</v>
      </c>
      <c r="AK5">
        <v>1.43E-2</v>
      </c>
      <c r="AL5">
        <v>3.5000000000000003E-2</v>
      </c>
      <c r="AM5">
        <v>2.7199999999999998E-2</v>
      </c>
      <c r="AN5">
        <v>3.2300000000000002E-2</v>
      </c>
      <c r="AO5">
        <v>2.3199999999999998E-2</v>
      </c>
      <c r="AP5">
        <v>1.47E-2</v>
      </c>
      <c r="AQ5">
        <v>4.7399999999999998E-2</v>
      </c>
      <c r="AR5">
        <v>6.25E-2</v>
      </c>
      <c r="AS5">
        <v>1.5100000000000001E-2</v>
      </c>
      <c r="AT5">
        <v>1.5599999999999999E-2</v>
      </c>
      <c r="AU5">
        <v>2.5000000000000001E-2</v>
      </c>
    </row>
    <row r="6" spans="1:47" x14ac:dyDescent="0.25">
      <c r="A6" s="1" t="s">
        <v>15</v>
      </c>
      <c r="B6" s="3">
        <v>0.69869999999999999</v>
      </c>
      <c r="C6" s="3">
        <v>0.75</v>
      </c>
      <c r="D6" s="3">
        <v>0.25719999999999998</v>
      </c>
      <c r="E6" s="3">
        <v>0.14599999999999999</v>
      </c>
      <c r="F6">
        <v>0</v>
      </c>
      <c r="G6" s="3">
        <v>0.22140000000000001</v>
      </c>
      <c r="H6" s="3">
        <v>0.21379999999999999</v>
      </c>
      <c r="I6" s="3">
        <v>0.13420000000000001</v>
      </c>
      <c r="J6" s="3">
        <v>0.13819999999999999</v>
      </c>
      <c r="K6" s="3">
        <v>0.14760000000000001</v>
      </c>
      <c r="L6" s="3">
        <v>4.3400000000000001E-2</v>
      </c>
      <c r="M6" s="3">
        <v>0.113</v>
      </c>
      <c r="N6" s="3">
        <v>0.1389</v>
      </c>
      <c r="O6" s="3">
        <v>7.8E-2</v>
      </c>
      <c r="P6" s="3">
        <v>0.38040000000000002</v>
      </c>
      <c r="Q6" s="3">
        <v>1.2</v>
      </c>
      <c r="R6" s="3">
        <v>7.2900000000000006E-2</v>
      </c>
      <c r="S6" s="3">
        <v>7.2900000000000006E-2</v>
      </c>
      <c r="T6">
        <v>0</v>
      </c>
      <c r="U6">
        <v>0</v>
      </c>
      <c r="V6">
        <v>0</v>
      </c>
      <c r="W6" s="3">
        <v>0.17230000000000001</v>
      </c>
      <c r="X6" s="3">
        <v>0.36599999999999999</v>
      </c>
      <c r="Y6" s="3">
        <v>0.17100000000000001</v>
      </c>
      <c r="Z6" s="3">
        <v>0.13420000000000001</v>
      </c>
      <c r="AA6" s="3">
        <v>0.30399999999999999</v>
      </c>
      <c r="AB6" s="3">
        <v>0.25480000000000003</v>
      </c>
      <c r="AC6" s="3">
        <v>6.8000000000000005E-2</v>
      </c>
      <c r="AD6" s="3">
        <v>0.13189999999999999</v>
      </c>
      <c r="AE6" s="3">
        <v>0.3216</v>
      </c>
      <c r="AF6">
        <v>0</v>
      </c>
      <c r="AG6">
        <v>0</v>
      </c>
      <c r="AH6">
        <v>0</v>
      </c>
      <c r="AI6" s="3">
        <v>0.25650000000000001</v>
      </c>
      <c r="AJ6" s="3">
        <v>0.18459999999999999</v>
      </c>
      <c r="AK6">
        <v>0</v>
      </c>
      <c r="AL6" s="3">
        <v>0.36099999999999999</v>
      </c>
      <c r="AM6">
        <v>0</v>
      </c>
      <c r="AN6" s="3">
        <v>0.51300000000000001</v>
      </c>
      <c r="AO6">
        <v>0</v>
      </c>
      <c r="AP6" s="3">
        <v>0.23960000000000001</v>
      </c>
      <c r="AQ6" s="3">
        <v>0.7802</v>
      </c>
      <c r="AR6" s="3">
        <v>1.0289999999999999</v>
      </c>
      <c r="AS6" s="3">
        <v>0.249</v>
      </c>
      <c r="AT6">
        <v>0</v>
      </c>
      <c r="AU6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26" sqref="K26"/>
    </sheetView>
  </sheetViews>
  <sheetFormatPr defaultRowHeight="15" x14ac:dyDescent="0.25"/>
  <cols>
    <col min="1" max="1" width="9.140625" style="1"/>
    <col min="2" max="2" width="9.140625" style="2"/>
  </cols>
  <sheetData>
    <row r="1" spans="1:21" x14ac:dyDescent="0.25">
      <c r="A1" s="1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x14ac:dyDescent="0.25">
      <c r="A2" s="1" t="s">
        <v>6</v>
      </c>
      <c r="B2" s="2">
        <v>1</v>
      </c>
      <c r="C2" s="2">
        <v>3</v>
      </c>
      <c r="D2">
        <v>4</v>
      </c>
      <c r="E2" s="2">
        <v>7</v>
      </c>
      <c r="F2">
        <v>8</v>
      </c>
      <c r="G2" s="2">
        <v>9</v>
      </c>
      <c r="H2">
        <v>12</v>
      </c>
      <c r="I2" s="2">
        <v>15</v>
      </c>
      <c r="J2">
        <v>16</v>
      </c>
      <c r="K2">
        <v>18</v>
      </c>
      <c r="L2">
        <v>20</v>
      </c>
      <c r="M2" s="2">
        <v>21</v>
      </c>
      <c r="N2" s="2">
        <v>23</v>
      </c>
      <c r="O2">
        <v>24</v>
      </c>
      <c r="P2" s="2">
        <v>25</v>
      </c>
      <c r="Q2">
        <v>26</v>
      </c>
      <c r="R2" s="2">
        <v>27</v>
      </c>
      <c r="S2">
        <v>28</v>
      </c>
      <c r="T2" s="2">
        <v>29</v>
      </c>
      <c r="U2" s="2">
        <v>31</v>
      </c>
    </row>
    <row r="3" spans="1:21" x14ac:dyDescent="0.25">
      <c r="A3" s="1" t="s">
        <v>7</v>
      </c>
      <c r="B3" s="2">
        <v>0.97599999999999998</v>
      </c>
      <c r="C3">
        <v>3.22</v>
      </c>
      <c r="D3">
        <v>5</v>
      </c>
      <c r="E3">
        <v>2.3380000000000001</v>
      </c>
      <c r="F3">
        <v>5.22</v>
      </c>
      <c r="G3">
        <v>6.5000000000000002E-2</v>
      </c>
      <c r="H3">
        <v>8.5299999999999987E-2</v>
      </c>
      <c r="I3">
        <v>3.2</v>
      </c>
      <c r="J3">
        <v>3.29</v>
      </c>
      <c r="K3">
        <v>1.58</v>
      </c>
      <c r="L3">
        <v>6.8</v>
      </c>
      <c r="M3">
        <v>2.74</v>
      </c>
      <c r="N3">
        <v>2.4750000000000001</v>
      </c>
      <c r="O3">
        <v>3.0860000000000003</v>
      </c>
      <c r="P3">
        <v>2.2400000000000002</v>
      </c>
      <c r="Q3">
        <v>1.39</v>
      </c>
      <c r="R3">
        <v>2.81</v>
      </c>
      <c r="S3">
        <v>2.06</v>
      </c>
      <c r="T3">
        <v>2.835</v>
      </c>
      <c r="U3">
        <v>9.1999999999999998E-2</v>
      </c>
    </row>
    <row r="4" spans="1:21" x14ac:dyDescent="0.25">
      <c r="A4" s="1" t="s">
        <v>8</v>
      </c>
      <c r="B4" s="2">
        <v>0.442</v>
      </c>
      <c r="C4">
        <v>2.4E-2</v>
      </c>
      <c r="D4">
        <v>1.84</v>
      </c>
      <c r="E4">
        <v>0.84</v>
      </c>
      <c r="F4">
        <v>1.766</v>
      </c>
      <c r="G4">
        <v>-0.66599999999999993</v>
      </c>
      <c r="H4">
        <v>0.88</v>
      </c>
      <c r="I4">
        <v>1.53</v>
      </c>
      <c r="J4">
        <v>0.32299999999999995</v>
      </c>
      <c r="K4">
        <v>0.3</v>
      </c>
      <c r="L4">
        <v>1.03</v>
      </c>
      <c r="M4">
        <v>1.1499999999999999</v>
      </c>
      <c r="N4">
        <v>0.84599999999999997</v>
      </c>
      <c r="O4">
        <v>-0.92200000000000004</v>
      </c>
      <c r="P4">
        <v>0.47200000000000003</v>
      </c>
      <c r="Q4">
        <v>0.17</v>
      </c>
      <c r="R4">
        <v>0.755</v>
      </c>
      <c r="S4">
        <v>0.27600000000000002</v>
      </c>
      <c r="T4">
        <v>0.26899999999999996</v>
      </c>
      <c r="U4">
        <v>4.5999999999999999E-2</v>
      </c>
    </row>
    <row r="7" spans="1:21" x14ac:dyDescent="0.25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SG</vt:lpstr>
      <vt:lpstr>Line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RDP</dc:creator>
  <cp:lastModifiedBy>USER</cp:lastModifiedBy>
  <dcterms:created xsi:type="dcterms:W3CDTF">2025-02-04T04:24:57Z</dcterms:created>
  <dcterms:modified xsi:type="dcterms:W3CDTF">2026-01-16T04:52:20Z</dcterms:modified>
</cp:coreProperties>
</file>